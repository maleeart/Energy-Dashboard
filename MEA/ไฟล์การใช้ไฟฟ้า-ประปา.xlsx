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gatucc-my.sharepoint.com/personal/598589_egat_co_th/Documents/Application/"/>
    </mc:Choice>
  </mc:AlternateContent>
  <xr:revisionPtr revIDLastSave="0" documentId="8_{5C45B884-C469-42E6-A5BC-3921C4694810}" xr6:coauthVersionLast="36" xr6:coauthVersionMax="36" xr10:uidLastSave="{00000000-0000-0000-0000-000000000000}"/>
  <bookViews>
    <workbookView xWindow="0" yWindow="0" windowWidth="28800" windowHeight="12225" xr2:uid="{B8AE5C73-2ECA-4C00-A340-40A34B697D71}"/>
  </bookViews>
  <sheets>
    <sheet name="ตารางไฟฟ้า-ประปา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17" i="1" l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Sirichet Suttiwong</author>
  </authors>
  <commentList>
    <comment ref="AF8" authorId="0" shapeId="0" xr:uid="{380B051D-0CA6-402C-8C22-8547FA7AA27B}">
      <text>
        <r>
          <rPr>
            <b/>
            <sz val="9"/>
            <color indexed="81"/>
            <rFont val="Tahoma"/>
            <family val="2"/>
          </rPr>
          <t>ท่อประปาแตก 4 ครั้ง</t>
        </r>
      </text>
    </comment>
    <comment ref="AF9" authorId="0" shapeId="0" xr:uid="{6D8D09C1-2789-4016-B193-F9CD0514E246}">
      <text>
        <r>
          <rPr>
            <b/>
            <sz val="9"/>
            <color indexed="81"/>
            <rFont val="Tahoma"/>
            <charset val="222"/>
          </rPr>
          <t xml:space="preserve">ท่อประปาแตกหลายจุดและมีงานกิจกรรม และผปง.กลับจากsite
</t>
        </r>
      </text>
    </comment>
  </commentList>
</comments>
</file>

<file path=xl/sharedStrings.xml><?xml version="1.0" encoding="utf-8"?>
<sst xmlns="http://schemas.openxmlformats.org/spreadsheetml/2006/main" count="69" uniqueCount="26">
  <si>
    <t>ปี2562</t>
  </si>
  <si>
    <t>ปี2563</t>
  </si>
  <si>
    <t>ปี2654</t>
  </si>
  <si>
    <t>ปี2565</t>
  </si>
  <si>
    <t>ปี2566</t>
  </si>
  <si>
    <t>ปี2567</t>
  </si>
  <si>
    <t>ปี2568</t>
  </si>
  <si>
    <t>ปี2569</t>
  </si>
  <si>
    <t>ค่าไฟฟ้า</t>
  </si>
  <si>
    <t>ค่าน้ำประปา</t>
  </si>
  <si>
    <t>บิลเดือน</t>
  </si>
  <si>
    <t>จำนวนหน่วย</t>
  </si>
  <si>
    <t>รวมเงิน</t>
  </si>
  <si>
    <t>รวมเงิน+vat</t>
  </si>
  <si>
    <t>มค.</t>
  </si>
  <si>
    <t>กพ.</t>
  </si>
  <si>
    <t>มีค.</t>
  </si>
  <si>
    <t>เมย.</t>
  </si>
  <si>
    <t>พค.</t>
  </si>
  <si>
    <t>มิย.</t>
  </si>
  <si>
    <t>กค.</t>
  </si>
  <si>
    <t>สค.</t>
  </si>
  <si>
    <t>กย.</t>
  </si>
  <si>
    <t>ตค.</t>
  </si>
  <si>
    <t>พย.</t>
  </si>
  <si>
    <t>ธค.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</si>
</sst>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_(* #,##0.00_);_(* \(#,##0.00\);_(* &quot;-&quot;??_);_(@_)"/>
  </numFmts>
  <fonts count="10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4"/>
      <name val="Tahoma"/>
      <family val="2"/>
    </font>
    <font>
      <b/>
      <sz val="14"/>
      <name val="Tahoma"/>
      <family val="2"/>
    </font>
    <font>
      <sz val="14"/>
      <color rgb="FF0070C0"/>
      <name val="Tahoma"/>
      <family val="2"/>
    </font>
    <font>
      <sz val="14"/>
      <color theme="4"/>
      <name val="Tahoma"/>
      <family val="2"/>
    </font>
    <font>
      <sz val="14"/>
      <color theme="1"/>
      <name val="Tahoma"/>
      <family val="2"/>
    </font>
    <font>
      <sz val="14"/>
      <color rgb="FFFF0000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Tahoma"/>
      <charset val="22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2">
    <xf numFmtId="0" fontId="0" fillId="0" borderId="0"/>
    <xf numFmtId="187" fontId="1" fillId="0" borderId="0" applyFont="0" applyFill="0" applyBorder="0" applyAlignment="0" applyProtection="0"/>
  </cellStyleXfs>
  <cellXfs count="85">
    <xf numFmtId="0" fontId="0" fillId="0" borderId="0" xfId="0"/>
    <xf numFmtId="0" fontId="2" fillId="0" borderId="0" xfId="0" applyFont="1" applyAlignment="1">
      <alignment horizontal="center"/>
    </xf>
    <xf numFmtId="187" fontId="2" fillId="0" borderId="0" xfId="1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87" fontId="2" fillId="0" borderId="1" xfId="1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187" fontId="2" fillId="0" borderId="9" xfId="1" applyFont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187" fontId="2" fillId="0" borderId="10" xfId="1" applyFont="1" applyFill="1" applyBorder="1" applyAlignment="1">
      <alignment horizontal="right"/>
    </xf>
    <xf numFmtId="0" fontId="2" fillId="0" borderId="10" xfId="0" applyFont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4" fontId="2" fillId="0" borderId="11" xfId="1" applyNumberFormat="1" applyFont="1" applyFill="1" applyBorder="1" applyAlignment="1">
      <alignment horizontal="right"/>
    </xf>
    <xf numFmtId="0" fontId="2" fillId="4" borderId="12" xfId="1" applyNumberFormat="1" applyFont="1" applyFill="1" applyBorder="1" applyAlignment="1">
      <alignment horizontal="center"/>
    </xf>
    <xf numFmtId="187" fontId="2" fillId="0" borderId="12" xfId="1" applyFont="1" applyFill="1" applyBorder="1" applyAlignment="1">
      <alignment horizontal="right"/>
    </xf>
    <xf numFmtId="0" fontId="4" fillId="0" borderId="12" xfId="1" applyNumberFormat="1" applyFont="1" applyFill="1" applyBorder="1" applyAlignment="1">
      <alignment horizontal="center"/>
    </xf>
    <xf numFmtId="187" fontId="4" fillId="0" borderId="12" xfId="1" applyFont="1" applyFill="1" applyBorder="1" applyAlignment="1">
      <alignment horizontal="right"/>
    </xf>
    <xf numFmtId="0" fontId="5" fillId="0" borderId="0" xfId="0" applyFont="1" applyAlignment="1">
      <alignment horizontal="center"/>
    </xf>
    <xf numFmtId="0" fontId="2" fillId="5" borderId="12" xfId="1" applyNumberFormat="1" applyFont="1" applyFill="1" applyBorder="1" applyAlignment="1">
      <alignment horizontal="center"/>
    </xf>
    <xf numFmtId="0" fontId="4" fillId="5" borderId="12" xfId="1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11" xfId="0" applyFont="1" applyBorder="1" applyAlignment="1">
      <alignment horizontal="center"/>
    </xf>
    <xf numFmtId="187" fontId="2" fillId="0" borderId="11" xfId="1" applyFont="1" applyFill="1" applyBorder="1" applyAlignment="1">
      <alignment horizontal="right"/>
    </xf>
    <xf numFmtId="0" fontId="2" fillId="0" borderId="11" xfId="0" applyFont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1" xfId="1" applyNumberFormat="1" applyFont="1" applyFill="1" applyBorder="1" applyAlignment="1">
      <alignment horizontal="center"/>
    </xf>
    <xf numFmtId="0" fontId="4" fillId="0" borderId="11" xfId="1" applyNumberFormat="1" applyFont="1" applyFill="1" applyBorder="1" applyAlignment="1">
      <alignment horizontal="center"/>
    </xf>
    <xf numFmtId="187" fontId="4" fillId="0" borderId="11" xfId="1" applyFont="1" applyFill="1" applyBorder="1" applyAlignment="1">
      <alignment horizontal="right"/>
    </xf>
    <xf numFmtId="0" fontId="5" fillId="0" borderId="11" xfId="1" applyNumberFormat="1" applyFont="1" applyFill="1" applyBorder="1" applyAlignment="1">
      <alignment horizontal="center"/>
    </xf>
    <xf numFmtId="187" fontId="5" fillId="0" borderId="11" xfId="1" applyFont="1" applyFill="1" applyBorder="1" applyAlignment="1">
      <alignment horizontal="right"/>
    </xf>
    <xf numFmtId="0" fontId="2" fillId="5" borderId="11" xfId="1" applyNumberFormat="1" applyFont="1" applyFill="1" applyBorder="1" applyAlignment="1">
      <alignment horizontal="center"/>
    </xf>
    <xf numFmtId="0" fontId="5" fillId="5" borderId="11" xfId="1" applyNumberFormat="1" applyFont="1" applyFill="1" applyBorder="1" applyAlignment="1">
      <alignment horizontal="center"/>
    </xf>
    <xf numFmtId="0" fontId="4" fillId="0" borderId="11" xfId="0" applyFont="1" applyBorder="1" applyAlignment="1">
      <alignment horizontal="center"/>
    </xf>
    <xf numFmtId="187" fontId="4" fillId="0" borderId="11" xfId="1" applyFont="1" applyFill="1" applyBorder="1" applyAlignment="1">
      <alignment horizontal="center"/>
    </xf>
    <xf numFmtId="0" fontId="4" fillId="0" borderId="11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87" fontId="2" fillId="0" borderId="13" xfId="1" applyFont="1" applyFill="1" applyBorder="1" applyAlignment="1">
      <alignment horizontal="right"/>
    </xf>
    <xf numFmtId="0" fontId="2" fillId="4" borderId="13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4" fontId="2" fillId="0" borderId="13" xfId="1" applyNumberFormat="1" applyFont="1" applyFill="1" applyBorder="1" applyAlignment="1">
      <alignment horizontal="right"/>
    </xf>
    <xf numFmtId="0" fontId="4" fillId="0" borderId="13" xfId="0" applyFont="1" applyBorder="1" applyAlignment="1">
      <alignment horizontal="center"/>
    </xf>
    <xf numFmtId="187" fontId="4" fillId="0" borderId="13" xfId="1" applyFont="1" applyFill="1" applyBorder="1" applyAlignment="1">
      <alignment horizontal="right"/>
    </xf>
    <xf numFmtId="0" fontId="2" fillId="5" borderId="13" xfId="0" applyFont="1" applyFill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187" fontId="2" fillId="0" borderId="15" xfId="1" applyFont="1" applyFill="1" applyBorder="1" applyAlignment="1">
      <alignment horizontal="right"/>
    </xf>
    <xf numFmtId="0" fontId="2" fillId="4" borderId="15" xfId="0" applyFont="1" applyFill="1" applyBorder="1" applyAlignment="1">
      <alignment horizontal="center"/>
    </xf>
    <xf numFmtId="4" fontId="2" fillId="0" borderId="15" xfId="1" applyNumberFormat="1" applyFont="1" applyFill="1" applyBorder="1" applyAlignment="1">
      <alignment horizontal="right"/>
    </xf>
    <xf numFmtId="0" fontId="2" fillId="4" borderId="15" xfId="1" applyNumberFormat="1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187" fontId="4" fillId="0" borderId="15" xfId="1" applyFont="1" applyFill="1" applyBorder="1" applyAlignment="1">
      <alignment horizontal="right"/>
    </xf>
    <xf numFmtId="0" fontId="2" fillId="5" borderId="15" xfId="0" applyFont="1" applyFill="1" applyBorder="1" applyAlignment="1">
      <alignment horizontal="center"/>
    </xf>
    <xf numFmtId="0" fontId="6" fillId="5" borderId="15" xfId="0" applyFont="1" applyFill="1" applyBorder="1" applyAlignment="1">
      <alignment horizontal="center"/>
    </xf>
    <xf numFmtId="187" fontId="6" fillId="0" borderId="15" xfId="1" applyFont="1" applyFill="1" applyBorder="1" applyAlignment="1">
      <alignment horizontal="right"/>
    </xf>
    <xf numFmtId="187" fontId="5" fillId="0" borderId="16" xfId="1" applyFont="1" applyBorder="1" applyAlignment="1">
      <alignment horizontal="right"/>
    </xf>
    <xf numFmtId="0" fontId="5" fillId="0" borderId="11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187" fontId="2" fillId="0" borderId="17" xfId="1" applyFont="1" applyFill="1" applyBorder="1" applyAlignment="1">
      <alignment horizontal="right"/>
    </xf>
    <xf numFmtId="0" fontId="2" fillId="4" borderId="17" xfId="0" applyFont="1" applyFill="1" applyBorder="1" applyAlignment="1">
      <alignment horizontal="center"/>
    </xf>
    <xf numFmtId="187" fontId="5" fillId="0" borderId="18" xfId="1" applyFont="1" applyBorder="1" applyAlignment="1">
      <alignment horizontal="right"/>
    </xf>
    <xf numFmtId="0" fontId="7" fillId="5" borderId="11" xfId="0" applyFont="1" applyFill="1" applyBorder="1" applyAlignment="1">
      <alignment horizontal="center"/>
    </xf>
    <xf numFmtId="187" fontId="7" fillId="0" borderId="11" xfId="1" applyFont="1" applyFill="1" applyBorder="1" applyAlignment="1">
      <alignment horizontal="right"/>
    </xf>
    <xf numFmtId="0" fontId="7" fillId="0" borderId="11" xfId="0" applyFont="1" applyBorder="1" applyAlignment="1">
      <alignment horizontal="center"/>
    </xf>
    <xf numFmtId="187" fontId="7" fillId="0" borderId="16" xfId="1" applyFont="1" applyBorder="1" applyAlignment="1">
      <alignment horizontal="right"/>
    </xf>
    <xf numFmtId="0" fontId="2" fillId="0" borderId="1" xfId="0" applyNumberFormat="1" applyFont="1" applyBorder="1" applyAlignment="1">
      <alignment horizontal="center"/>
    </xf>
    <xf numFmtId="0" fontId="2" fillId="0" borderId="1" xfId="1" applyNumberFormat="1" applyFont="1" applyBorder="1" applyAlignment="1">
      <alignment horizontal="center"/>
    </xf>
    <xf numFmtId="187" fontId="2" fillId="0" borderId="19" xfId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32BB5-C763-4E03-BC05-D2CF5379EBAE}">
  <sheetPr>
    <pageSetUpPr fitToPage="1"/>
  </sheetPr>
  <dimension ref="A1:AG17"/>
  <sheetViews>
    <sheetView tabSelected="1" zoomScale="90" zoomScaleNormal="90" workbookViewId="0">
      <pane xSplit="1" topLeftCell="B1" activePane="topRight" state="frozen"/>
      <selection pane="topRight" activeCell="A19" sqref="A19:XFD26"/>
    </sheetView>
  </sheetViews>
  <sheetFormatPr defaultColWidth="15.875" defaultRowHeight="18" x14ac:dyDescent="0.25"/>
  <cols>
    <col min="1" max="1" width="11.25" style="1" bestFit="1" customWidth="1"/>
    <col min="2" max="2" width="15.375" style="1" customWidth="1"/>
    <col min="3" max="3" width="20" style="1" customWidth="1"/>
    <col min="4" max="4" width="15.375" style="1" customWidth="1"/>
    <col min="5" max="5" width="17.375" style="1" customWidth="1"/>
    <col min="6" max="6" width="15.375" style="1" customWidth="1"/>
    <col min="7" max="7" width="20" style="1" customWidth="1"/>
    <col min="8" max="8" width="15.375" style="1" customWidth="1"/>
    <col min="9" max="9" width="16.875" style="2" bestFit="1" customWidth="1"/>
    <col min="10" max="10" width="19" style="1" bestFit="1" customWidth="1"/>
    <col min="11" max="11" width="20" style="1" customWidth="1"/>
    <col min="12" max="12" width="15.375" style="1" customWidth="1"/>
    <col min="13" max="13" width="16.875" style="1" bestFit="1" customWidth="1"/>
    <col min="14" max="14" width="19" style="1" bestFit="1" customWidth="1"/>
    <col min="15" max="15" width="21.375" style="1" customWidth="1"/>
    <col min="16" max="16" width="15.375" style="1" customWidth="1"/>
    <col min="17" max="17" width="17.375" style="1" customWidth="1"/>
    <col min="18" max="18" width="19" style="1" bestFit="1" customWidth="1"/>
    <col min="19" max="19" width="21.375" style="1" customWidth="1"/>
    <col min="20" max="20" width="15.375" style="1" customWidth="1"/>
    <col min="21" max="21" width="17.375" style="1" customWidth="1"/>
    <col min="22" max="22" width="19" style="1" bestFit="1" customWidth="1"/>
    <col min="23" max="23" width="21.375" style="1" customWidth="1"/>
    <col min="24" max="24" width="15.375" style="1" customWidth="1"/>
    <col min="25" max="25" width="19.125" style="1" bestFit="1" customWidth="1"/>
    <col min="26" max="26" width="20.375" style="1" customWidth="1"/>
    <col min="27" max="27" width="20.375" style="1" bestFit="1" customWidth="1"/>
    <col min="28" max="28" width="15.375" style="1" bestFit="1" customWidth="1"/>
    <col min="29" max="29" width="17.375" style="1" bestFit="1" customWidth="1"/>
    <col min="30" max="33" width="20.375" style="1" customWidth="1"/>
    <col min="34" max="16384" width="15.875" style="1"/>
  </cols>
  <sheetData>
    <row r="1" spans="1:33" x14ac:dyDescent="0.25">
      <c r="C1" s="1">
        <v>2019</v>
      </c>
      <c r="G1" s="1">
        <v>2020</v>
      </c>
      <c r="K1" s="1">
        <v>2021</v>
      </c>
      <c r="O1" s="1">
        <v>2022</v>
      </c>
      <c r="S1" s="1">
        <v>2023</v>
      </c>
      <c r="W1" s="1">
        <v>2024</v>
      </c>
      <c r="AA1" s="1">
        <v>2025</v>
      </c>
      <c r="AE1" s="1">
        <v>2025</v>
      </c>
    </row>
    <row r="2" spans="1:33" x14ac:dyDescent="0.25">
      <c r="A2" s="3"/>
      <c r="B2" s="4" t="s">
        <v>0</v>
      </c>
      <c r="C2" s="5"/>
      <c r="D2" s="5"/>
      <c r="E2" s="6"/>
      <c r="F2" s="4" t="s">
        <v>1</v>
      </c>
      <c r="G2" s="5"/>
      <c r="H2" s="5"/>
      <c r="I2" s="6"/>
      <c r="J2" s="4" t="s">
        <v>2</v>
      </c>
      <c r="K2" s="5"/>
      <c r="L2" s="5"/>
      <c r="M2" s="6"/>
      <c r="N2" s="4" t="s">
        <v>3</v>
      </c>
      <c r="O2" s="5"/>
      <c r="P2" s="5"/>
      <c r="Q2" s="6"/>
      <c r="R2" s="4" t="s">
        <v>4</v>
      </c>
      <c r="S2" s="5"/>
      <c r="T2" s="7"/>
      <c r="U2" s="7"/>
      <c r="V2" s="4" t="s">
        <v>5</v>
      </c>
      <c r="W2" s="5"/>
      <c r="X2" s="7"/>
      <c r="Y2" s="7"/>
      <c r="Z2" s="4" t="s">
        <v>6</v>
      </c>
      <c r="AA2" s="5"/>
      <c r="AB2" s="7"/>
      <c r="AC2" s="7"/>
      <c r="AD2" s="4" t="s">
        <v>7</v>
      </c>
      <c r="AE2" s="5"/>
      <c r="AF2" s="7"/>
      <c r="AG2" s="7"/>
    </row>
    <row r="3" spans="1:33" x14ac:dyDescent="0.25">
      <c r="A3" s="3"/>
      <c r="B3" s="8" t="s">
        <v>8</v>
      </c>
      <c r="C3" s="9"/>
      <c r="D3" s="10" t="s">
        <v>9</v>
      </c>
      <c r="E3" s="10"/>
      <c r="F3" s="11" t="s">
        <v>8</v>
      </c>
      <c r="G3" s="11"/>
      <c r="H3" s="10" t="s">
        <v>9</v>
      </c>
      <c r="I3" s="10"/>
      <c r="J3" s="12" t="s">
        <v>8</v>
      </c>
      <c r="K3" s="12"/>
      <c r="L3" s="10" t="s">
        <v>9</v>
      </c>
      <c r="M3" s="10"/>
      <c r="N3" s="12" t="s">
        <v>8</v>
      </c>
      <c r="O3" s="12"/>
      <c r="P3" s="10" t="s">
        <v>9</v>
      </c>
      <c r="Q3" s="10"/>
      <c r="R3" s="12" t="s">
        <v>8</v>
      </c>
      <c r="S3" s="13"/>
      <c r="T3" s="14" t="s">
        <v>9</v>
      </c>
      <c r="U3" s="15"/>
      <c r="V3" s="12" t="s">
        <v>8</v>
      </c>
      <c r="W3" s="13"/>
      <c r="X3" s="14" t="s">
        <v>9</v>
      </c>
      <c r="Y3" s="15"/>
      <c r="Z3" s="12" t="s">
        <v>8</v>
      </c>
      <c r="AA3" s="13"/>
      <c r="AB3" s="14" t="s">
        <v>9</v>
      </c>
      <c r="AC3" s="15"/>
      <c r="AD3" s="12" t="s">
        <v>8</v>
      </c>
      <c r="AE3" s="13"/>
      <c r="AF3" s="14" t="s">
        <v>9</v>
      </c>
      <c r="AG3" s="15"/>
    </row>
    <row r="4" spans="1:33" x14ac:dyDescent="0.25">
      <c r="A4" s="16" t="s">
        <v>10</v>
      </c>
      <c r="B4" s="3" t="s">
        <v>11</v>
      </c>
      <c r="C4" s="3" t="s">
        <v>12</v>
      </c>
      <c r="D4" s="3" t="s">
        <v>11</v>
      </c>
      <c r="E4" s="17" t="s">
        <v>12</v>
      </c>
      <c r="F4" s="3" t="s">
        <v>11</v>
      </c>
      <c r="G4" s="3" t="s">
        <v>12</v>
      </c>
      <c r="H4" s="3" t="s">
        <v>11</v>
      </c>
      <c r="I4" s="17" t="s">
        <v>12</v>
      </c>
      <c r="J4" s="18" t="s">
        <v>11</v>
      </c>
      <c r="K4" s="3" t="s">
        <v>12</v>
      </c>
      <c r="L4" s="3" t="s">
        <v>11</v>
      </c>
      <c r="M4" s="17" t="s">
        <v>12</v>
      </c>
      <c r="N4" s="18" t="s">
        <v>11</v>
      </c>
      <c r="O4" s="3" t="s">
        <v>12</v>
      </c>
      <c r="P4" s="3" t="s">
        <v>11</v>
      </c>
      <c r="Q4" s="17" t="s">
        <v>12</v>
      </c>
      <c r="R4" s="18" t="s">
        <v>11</v>
      </c>
      <c r="S4" s="3" t="s">
        <v>12</v>
      </c>
      <c r="T4" s="19" t="s">
        <v>11</v>
      </c>
      <c r="U4" s="20" t="s">
        <v>12</v>
      </c>
      <c r="V4" s="18" t="s">
        <v>11</v>
      </c>
      <c r="W4" s="20" t="s">
        <v>13</v>
      </c>
      <c r="X4" s="19" t="s">
        <v>11</v>
      </c>
      <c r="Y4" s="20" t="s">
        <v>13</v>
      </c>
      <c r="Z4" s="21" t="s">
        <v>11</v>
      </c>
      <c r="AA4" s="20" t="s">
        <v>13</v>
      </c>
      <c r="AB4" s="19" t="s">
        <v>11</v>
      </c>
      <c r="AC4" s="20" t="s">
        <v>13</v>
      </c>
      <c r="AD4" s="21" t="s">
        <v>11</v>
      </c>
      <c r="AE4" s="20" t="s">
        <v>13</v>
      </c>
      <c r="AF4" s="19" t="s">
        <v>11</v>
      </c>
      <c r="AG4" s="20" t="s">
        <v>13</v>
      </c>
    </row>
    <row r="5" spans="1:33" x14ac:dyDescent="0.25">
      <c r="A5" s="22" t="s">
        <v>14</v>
      </c>
      <c r="B5" s="1">
        <v>247000</v>
      </c>
      <c r="C5" s="23">
        <v>1052780.1000000001</v>
      </c>
      <c r="D5" s="24">
        <v>4164</v>
      </c>
      <c r="E5" s="23">
        <v>71272.53</v>
      </c>
      <c r="F5" s="24">
        <v>254000</v>
      </c>
      <c r="G5" s="23">
        <v>1082837.98</v>
      </c>
      <c r="H5" s="24">
        <v>4646</v>
      </c>
      <c r="I5" s="23">
        <v>79503.740000000005</v>
      </c>
      <c r="J5" s="25">
        <v>204000</v>
      </c>
      <c r="K5" s="23">
        <v>856073.66</v>
      </c>
      <c r="L5" s="24">
        <v>5113</v>
      </c>
      <c r="M5" s="23">
        <v>87478.79</v>
      </c>
      <c r="N5" s="26">
        <v>235000</v>
      </c>
      <c r="O5" s="27">
        <v>1059098.4099999999</v>
      </c>
      <c r="P5" s="24">
        <v>2830</v>
      </c>
      <c r="Q5" s="23">
        <v>48491.54</v>
      </c>
      <c r="R5" s="28">
        <v>235000</v>
      </c>
      <c r="S5" s="29">
        <v>1059098.4099999999</v>
      </c>
      <c r="T5" s="30">
        <v>2467</v>
      </c>
      <c r="U5" s="31">
        <v>42292.52</v>
      </c>
      <c r="V5" s="28">
        <v>240000</v>
      </c>
      <c r="W5" s="29">
        <v>1151779.3400000001</v>
      </c>
      <c r="X5" s="32">
        <v>2494</v>
      </c>
      <c r="Y5" s="31">
        <v>42753.599999999999</v>
      </c>
      <c r="Z5" s="33">
        <v>204000</v>
      </c>
      <c r="AA5" s="29">
        <v>952392.09</v>
      </c>
      <c r="AB5" s="32">
        <v>3056</v>
      </c>
      <c r="AC5" s="31">
        <v>52350.99</v>
      </c>
      <c r="AD5" s="34">
        <v>248000</v>
      </c>
      <c r="AE5" s="31">
        <v>1122606.1200000001</v>
      </c>
      <c r="AF5" s="35">
        <v>3747</v>
      </c>
      <c r="AG5" s="31">
        <v>64151.34</v>
      </c>
    </row>
    <row r="6" spans="1:33" x14ac:dyDescent="0.25">
      <c r="A6" s="36" t="s">
        <v>15</v>
      </c>
      <c r="B6" s="1">
        <v>259000</v>
      </c>
      <c r="C6" s="37">
        <v>1114669.75</v>
      </c>
      <c r="D6" s="38">
        <v>4942</v>
      </c>
      <c r="E6" s="37">
        <v>84558.59</v>
      </c>
      <c r="F6" s="38">
        <v>223000</v>
      </c>
      <c r="G6" s="37">
        <v>967943.05</v>
      </c>
      <c r="H6" s="38">
        <v>4700</v>
      </c>
      <c r="I6" s="37">
        <v>80425.91</v>
      </c>
      <c r="J6" s="39">
        <v>223000</v>
      </c>
      <c r="K6" s="37">
        <v>968105.62</v>
      </c>
      <c r="L6" s="38">
        <v>5932</v>
      </c>
      <c r="M6" s="37">
        <v>101465.02</v>
      </c>
      <c r="N6" s="26">
        <v>223000</v>
      </c>
      <c r="O6" s="27">
        <v>1013636.72</v>
      </c>
      <c r="P6" s="38">
        <v>3262</v>
      </c>
      <c r="Q6" s="37">
        <v>55868.89</v>
      </c>
      <c r="R6" s="40">
        <v>200000</v>
      </c>
      <c r="S6" s="37">
        <v>1223489.6599999999</v>
      </c>
      <c r="T6" s="41">
        <v>3022</v>
      </c>
      <c r="U6" s="42">
        <v>51770.37</v>
      </c>
      <c r="V6" s="40">
        <v>264000</v>
      </c>
      <c r="W6" s="37">
        <v>1278717.1200000001</v>
      </c>
      <c r="X6" s="43">
        <v>2754</v>
      </c>
      <c r="Y6" s="44">
        <v>47193.68</v>
      </c>
      <c r="Z6" s="45">
        <v>216000</v>
      </c>
      <c r="AA6" s="37">
        <v>1053941.46</v>
      </c>
      <c r="AB6" s="43">
        <v>3139</v>
      </c>
      <c r="AC6" s="44">
        <v>53768.4</v>
      </c>
      <c r="AD6" s="46">
        <v>291000</v>
      </c>
      <c r="AE6" s="44">
        <v>1348186.63</v>
      </c>
      <c r="AF6" s="43">
        <v>3398</v>
      </c>
      <c r="AG6" s="44">
        <v>58191.39</v>
      </c>
    </row>
    <row r="7" spans="1:33" x14ac:dyDescent="0.25">
      <c r="A7" s="36" t="s">
        <v>16</v>
      </c>
      <c r="B7" s="38">
        <v>308000</v>
      </c>
      <c r="C7" s="37">
        <v>1325487.3899999999</v>
      </c>
      <c r="D7" s="38">
        <v>5019</v>
      </c>
      <c r="E7" s="37">
        <v>85873.53</v>
      </c>
      <c r="F7" s="38">
        <v>279000</v>
      </c>
      <c r="G7" s="37">
        <v>1203161.17</v>
      </c>
      <c r="H7" s="38">
        <v>4727</v>
      </c>
      <c r="I7" s="37">
        <v>80886.990000000005</v>
      </c>
      <c r="J7" s="39">
        <v>398000</v>
      </c>
      <c r="K7" s="37">
        <v>1725363.36</v>
      </c>
      <c r="L7" s="38">
        <v>3998</v>
      </c>
      <c r="M7" s="37">
        <v>68437.710000000006</v>
      </c>
      <c r="N7" s="26">
        <v>296000</v>
      </c>
      <c r="O7" s="27">
        <v>1328192.46</v>
      </c>
      <c r="P7" s="38">
        <v>1320</v>
      </c>
      <c r="Q7" s="37">
        <v>22704.97</v>
      </c>
      <c r="R7" s="39">
        <v>238000</v>
      </c>
      <c r="S7" s="37">
        <v>1436339.75</v>
      </c>
      <c r="T7" s="47">
        <v>2480</v>
      </c>
      <c r="U7" s="42">
        <v>42514</v>
      </c>
      <c r="V7" s="40">
        <v>320000</v>
      </c>
      <c r="W7" s="37">
        <v>1534082.58</v>
      </c>
      <c r="X7" s="47">
        <v>2633</v>
      </c>
      <c r="Y7" s="48">
        <v>45127.34</v>
      </c>
      <c r="Z7" s="45">
        <v>302000</v>
      </c>
      <c r="AA7" s="37">
        <v>1467730.76</v>
      </c>
      <c r="AB7" s="47">
        <v>3000</v>
      </c>
      <c r="AC7" s="48">
        <v>51394.67</v>
      </c>
      <c r="AD7" s="46">
        <v>310000</v>
      </c>
      <c r="AE7" s="44">
        <v>1426705.12</v>
      </c>
      <c r="AF7" s="47">
        <v>3169</v>
      </c>
      <c r="AG7" s="48">
        <v>54280.71</v>
      </c>
    </row>
    <row r="8" spans="1:33" x14ac:dyDescent="0.25">
      <c r="A8" s="36" t="s">
        <v>17</v>
      </c>
      <c r="B8" s="38">
        <v>309000</v>
      </c>
      <c r="C8" s="37">
        <v>1362159.42</v>
      </c>
      <c r="D8" s="38">
        <v>6148</v>
      </c>
      <c r="E8" s="37">
        <v>105153.69</v>
      </c>
      <c r="F8" s="38">
        <v>149000</v>
      </c>
      <c r="G8" s="37">
        <v>619490.98</v>
      </c>
      <c r="H8" s="38">
        <v>4178</v>
      </c>
      <c r="I8" s="37">
        <v>71511.61</v>
      </c>
      <c r="J8" s="39">
        <v>260000</v>
      </c>
      <c r="K8" s="37">
        <v>1139305.5900000001</v>
      </c>
      <c r="L8" s="38">
        <v>4721</v>
      </c>
      <c r="M8" s="37">
        <v>80784.53</v>
      </c>
      <c r="N8" s="26">
        <v>243000</v>
      </c>
      <c r="O8" s="27">
        <v>1110633.08</v>
      </c>
      <c r="P8" s="38">
        <v>1835</v>
      </c>
      <c r="Q8" s="37">
        <v>31499.73</v>
      </c>
      <c r="R8" s="39">
        <v>248000</v>
      </c>
      <c r="S8" s="37">
        <v>1562591.15</v>
      </c>
      <c r="T8" s="47">
        <v>3874</v>
      </c>
      <c r="U8" s="42">
        <v>66320.14</v>
      </c>
      <c r="V8" s="40">
        <v>322000</v>
      </c>
      <c r="W8" s="37">
        <v>1586967.36</v>
      </c>
      <c r="X8" s="47">
        <v>3272</v>
      </c>
      <c r="Y8" s="42">
        <v>56039.67</v>
      </c>
      <c r="Z8" s="45">
        <v>309000</v>
      </c>
      <c r="AA8" s="37">
        <v>1506307.82</v>
      </c>
      <c r="AB8" s="47">
        <v>2670</v>
      </c>
      <c r="AC8" s="42">
        <v>45759.19</v>
      </c>
      <c r="AD8" s="46">
        <v>311000</v>
      </c>
      <c r="AE8" s="44">
        <v>1451689.54</v>
      </c>
      <c r="AF8" s="49">
        <v>4893</v>
      </c>
      <c r="AG8" s="42">
        <v>83721.81</v>
      </c>
    </row>
    <row r="9" spans="1:33" x14ac:dyDescent="0.25">
      <c r="A9" s="36" t="s">
        <v>18</v>
      </c>
      <c r="B9" s="38">
        <v>305000</v>
      </c>
      <c r="C9" s="37">
        <v>1332406.3700000001</v>
      </c>
      <c r="D9" s="38">
        <v>4788</v>
      </c>
      <c r="E9" s="37">
        <v>81928.7</v>
      </c>
      <c r="F9" s="38">
        <v>229000</v>
      </c>
      <c r="G9" s="37">
        <v>953970.78</v>
      </c>
      <c r="H9" s="38">
        <v>3020</v>
      </c>
      <c r="I9" s="37">
        <v>41511.589999999997</v>
      </c>
      <c r="J9" s="39">
        <v>275000</v>
      </c>
      <c r="K9" s="37">
        <v>1177019.8500000001</v>
      </c>
      <c r="L9" s="38">
        <v>1009</v>
      </c>
      <c r="M9" s="37">
        <v>17393.96</v>
      </c>
      <c r="N9" s="26">
        <v>245000</v>
      </c>
      <c r="O9" s="27">
        <v>1155208.68</v>
      </c>
      <c r="P9" s="38">
        <v>1657</v>
      </c>
      <c r="Q9" s="37">
        <v>28459.99</v>
      </c>
      <c r="R9" s="39">
        <v>289888</v>
      </c>
      <c r="S9" s="37">
        <v>1678622.54</v>
      </c>
      <c r="T9" s="47">
        <v>2416</v>
      </c>
      <c r="U9" s="42">
        <v>41421.58</v>
      </c>
      <c r="V9" s="39">
        <v>320000</v>
      </c>
      <c r="W9" s="37">
        <v>1578285.68</v>
      </c>
      <c r="X9" s="47">
        <v>3323</v>
      </c>
      <c r="Y9" s="42">
        <v>56910.6</v>
      </c>
      <c r="Z9" s="50">
        <v>293000</v>
      </c>
      <c r="AA9" s="37">
        <v>1392984.07</v>
      </c>
      <c r="AB9" s="47">
        <v>2815</v>
      </c>
      <c r="AC9" s="42">
        <v>48235.39</v>
      </c>
      <c r="AD9" s="46">
        <v>300000</v>
      </c>
      <c r="AE9" s="44">
        <v>1414753.85</v>
      </c>
      <c r="AF9" s="47">
        <v>4225</v>
      </c>
      <c r="AG9" s="42">
        <v>72314.240000000005</v>
      </c>
    </row>
    <row r="10" spans="1:33" x14ac:dyDescent="0.25">
      <c r="A10" s="51" t="s">
        <v>19</v>
      </c>
      <c r="B10" s="52">
        <v>290000</v>
      </c>
      <c r="C10" s="53">
        <v>1243307.96</v>
      </c>
      <c r="D10" s="52">
        <v>5312</v>
      </c>
      <c r="E10" s="53">
        <v>90877.15</v>
      </c>
      <c r="F10" s="52">
        <v>300000</v>
      </c>
      <c r="G10" s="53">
        <v>1258461.73</v>
      </c>
      <c r="H10" s="52">
        <v>3935</v>
      </c>
      <c r="I10" s="53">
        <v>54041.47</v>
      </c>
      <c r="J10" s="54">
        <v>292000</v>
      </c>
      <c r="K10" s="53">
        <v>1263169.6299999999</v>
      </c>
      <c r="L10" s="52">
        <v>3167</v>
      </c>
      <c r="M10" s="53">
        <v>54246.559999999998</v>
      </c>
      <c r="N10" s="55">
        <v>266000</v>
      </c>
      <c r="O10" s="56">
        <v>1253079.9099999999</v>
      </c>
      <c r="P10" s="52">
        <v>1544</v>
      </c>
      <c r="Q10" s="53">
        <v>26530</v>
      </c>
      <c r="R10" s="54">
        <v>295000</v>
      </c>
      <c r="S10" s="53">
        <v>1622059.01</v>
      </c>
      <c r="T10" s="57">
        <v>2209</v>
      </c>
      <c r="U10" s="58">
        <v>37886.6</v>
      </c>
      <c r="V10" s="54">
        <v>285000</v>
      </c>
      <c r="W10" s="53">
        <v>1386017.53</v>
      </c>
      <c r="X10" s="57">
        <v>2441</v>
      </c>
      <c r="Y10" s="58">
        <v>41848.51</v>
      </c>
      <c r="Z10" s="59">
        <v>289000</v>
      </c>
      <c r="AA10" s="53">
        <v>1361762.46</v>
      </c>
      <c r="AB10" s="57">
        <v>1873</v>
      </c>
      <c r="AC10" s="58">
        <v>32148.66</v>
      </c>
      <c r="AD10" s="59"/>
      <c r="AE10" s="53"/>
      <c r="AF10" s="57"/>
      <c r="AG10" s="58"/>
    </row>
    <row r="11" spans="1:33" x14ac:dyDescent="0.25">
      <c r="A11" s="60" t="s">
        <v>20</v>
      </c>
      <c r="B11" s="61">
        <v>285000</v>
      </c>
      <c r="C11" s="62">
        <v>1218012.1599999999</v>
      </c>
      <c r="D11" s="61">
        <v>3635</v>
      </c>
      <c r="E11" s="62">
        <v>62238.69</v>
      </c>
      <c r="F11" s="61">
        <v>353000</v>
      </c>
      <c r="G11" s="62">
        <v>1520438.93</v>
      </c>
      <c r="H11" s="61">
        <v>2862</v>
      </c>
      <c r="I11" s="62">
        <v>39347.97</v>
      </c>
      <c r="J11" s="63">
        <v>216000</v>
      </c>
      <c r="K11" s="62">
        <v>911337.53</v>
      </c>
      <c r="L11" s="61">
        <v>2012</v>
      </c>
      <c r="M11" s="62">
        <v>34522.39</v>
      </c>
      <c r="N11" s="63">
        <v>271000</v>
      </c>
      <c r="O11" s="64">
        <v>1250588.8</v>
      </c>
      <c r="P11" s="61">
        <v>1709</v>
      </c>
      <c r="Q11" s="62">
        <v>29348</v>
      </c>
      <c r="R11" s="65">
        <v>268000</v>
      </c>
      <c r="S11" s="62">
        <v>1449950.21</v>
      </c>
      <c r="T11" s="66">
        <v>2229</v>
      </c>
      <c r="U11" s="67">
        <v>38727.24</v>
      </c>
      <c r="V11" s="63">
        <v>285000</v>
      </c>
      <c r="W11" s="62">
        <v>1391310.42</v>
      </c>
      <c r="X11" s="66">
        <v>2605</v>
      </c>
      <c r="Y11" s="67">
        <v>44649.17</v>
      </c>
      <c r="Z11" s="68">
        <v>293000</v>
      </c>
      <c r="AA11" s="62">
        <v>1369783.74</v>
      </c>
      <c r="AB11" s="66">
        <v>2061</v>
      </c>
      <c r="AC11" s="67">
        <v>35359.18</v>
      </c>
      <c r="AD11" s="68"/>
      <c r="AE11" s="62"/>
      <c r="AF11" s="66"/>
      <c r="AG11" s="67"/>
    </row>
    <row r="12" spans="1:33" x14ac:dyDescent="0.25">
      <c r="A12" s="36" t="s">
        <v>21</v>
      </c>
      <c r="B12" s="38">
        <v>277000</v>
      </c>
      <c r="C12" s="37">
        <v>1158898.92</v>
      </c>
      <c r="D12" s="38">
        <v>4231</v>
      </c>
      <c r="E12" s="37">
        <v>72416.7</v>
      </c>
      <c r="F12" s="38">
        <v>370000</v>
      </c>
      <c r="G12" s="37">
        <v>1626142.34</v>
      </c>
      <c r="H12" s="38">
        <v>3452</v>
      </c>
      <c r="I12" s="37">
        <v>59113.56</v>
      </c>
      <c r="J12" s="39">
        <v>229000</v>
      </c>
      <c r="K12" s="37">
        <v>962236.08</v>
      </c>
      <c r="L12" s="38">
        <v>845</v>
      </c>
      <c r="M12" s="37">
        <v>14593.3</v>
      </c>
      <c r="N12" s="39">
        <v>313000</v>
      </c>
      <c r="O12" s="27">
        <v>1374796.92</v>
      </c>
      <c r="P12" s="38">
        <v>1382</v>
      </c>
      <c r="Q12" s="37">
        <v>23763.759999999998</v>
      </c>
      <c r="R12" s="40">
        <v>279000</v>
      </c>
      <c r="S12" s="37">
        <v>1509643.3</v>
      </c>
      <c r="T12" s="47">
        <v>2262</v>
      </c>
      <c r="U12" s="42">
        <v>38791.69</v>
      </c>
      <c r="V12" s="39">
        <v>297000</v>
      </c>
      <c r="W12" s="37">
        <v>1434772.18</v>
      </c>
      <c r="X12" s="47">
        <v>2123</v>
      </c>
      <c r="Y12" s="42">
        <v>36417.96</v>
      </c>
      <c r="Z12" s="68">
        <v>285000</v>
      </c>
      <c r="AA12" s="62">
        <v>1321311.4099999999</v>
      </c>
      <c r="AB12" s="66">
        <v>1870</v>
      </c>
      <c r="AC12" s="67">
        <v>32097.43</v>
      </c>
      <c r="AD12" s="68"/>
      <c r="AE12" s="62"/>
      <c r="AF12" s="66"/>
      <c r="AG12" s="67"/>
    </row>
    <row r="13" spans="1:33" x14ac:dyDescent="0.25">
      <c r="A13" s="36" t="s">
        <v>22</v>
      </c>
      <c r="B13" s="38">
        <v>261000</v>
      </c>
      <c r="C13" s="37">
        <v>1115836.6000000001</v>
      </c>
      <c r="D13" s="38">
        <v>4412</v>
      </c>
      <c r="E13" s="37">
        <v>75507.67</v>
      </c>
      <c r="F13" s="38">
        <v>379000</v>
      </c>
      <c r="G13" s="37">
        <v>1615743.58</v>
      </c>
      <c r="H13" s="38">
        <v>3750</v>
      </c>
      <c r="I13" s="37">
        <v>64202.57</v>
      </c>
      <c r="J13" s="39">
        <v>221000</v>
      </c>
      <c r="K13" s="37">
        <v>919151.16</v>
      </c>
      <c r="L13" s="38">
        <v>829</v>
      </c>
      <c r="M13" s="37">
        <v>14320.07</v>
      </c>
      <c r="N13" s="39">
        <v>295000</v>
      </c>
      <c r="O13" s="27">
        <v>1615915.88</v>
      </c>
      <c r="P13" s="38">
        <v>1768</v>
      </c>
      <c r="Q13" s="37">
        <v>30355.56</v>
      </c>
      <c r="R13" s="39">
        <v>261000</v>
      </c>
      <c r="S13" s="37">
        <v>1339825.42</v>
      </c>
      <c r="T13" s="47">
        <v>2927</v>
      </c>
      <c r="U13" s="42">
        <v>50148.03</v>
      </c>
      <c r="V13" s="39">
        <v>289000</v>
      </c>
      <c r="W13" s="37">
        <v>1399965.42</v>
      </c>
      <c r="X13" s="47">
        <v>2050</v>
      </c>
      <c r="Y13" s="42">
        <v>35171.33</v>
      </c>
      <c r="Z13" s="69">
        <v>305000</v>
      </c>
      <c r="AA13" s="70">
        <v>1400165.9</v>
      </c>
      <c r="AB13" s="47">
        <v>2007</v>
      </c>
      <c r="AC13" s="42">
        <v>34437.01</v>
      </c>
      <c r="AD13" s="69"/>
      <c r="AE13" s="70"/>
      <c r="AF13" s="47"/>
      <c r="AG13" s="42"/>
    </row>
    <row r="14" spans="1:33" x14ac:dyDescent="0.25">
      <c r="A14" s="36" t="s">
        <v>23</v>
      </c>
      <c r="B14" s="38">
        <v>285000</v>
      </c>
      <c r="C14" s="37">
        <v>1216209.29</v>
      </c>
      <c r="D14" s="38">
        <v>3788</v>
      </c>
      <c r="E14" s="37">
        <v>64851.5</v>
      </c>
      <c r="F14" s="38">
        <v>326000</v>
      </c>
      <c r="G14" s="37">
        <v>1409872.39</v>
      </c>
      <c r="H14" s="38">
        <v>2651</v>
      </c>
      <c r="I14" s="37">
        <v>45434.73</v>
      </c>
      <c r="J14" s="39">
        <v>240000</v>
      </c>
      <c r="K14" s="37">
        <v>1006391.84</v>
      </c>
      <c r="L14" s="38">
        <v>1031</v>
      </c>
      <c r="M14" s="37">
        <v>17769.66</v>
      </c>
      <c r="N14" s="39">
        <v>255000</v>
      </c>
      <c r="O14" s="27">
        <v>1391055.64</v>
      </c>
      <c r="P14" s="38">
        <v>1826</v>
      </c>
      <c r="Q14" s="37">
        <v>31346.04</v>
      </c>
      <c r="R14" s="39">
        <v>257000</v>
      </c>
      <c r="S14" s="37">
        <v>1056877.1499999999</v>
      </c>
      <c r="T14" s="47">
        <v>2329</v>
      </c>
      <c r="U14" s="42">
        <v>39935.870000000003</v>
      </c>
      <c r="V14" s="39">
        <v>299000</v>
      </c>
      <c r="W14" s="37">
        <v>1472910.7</v>
      </c>
      <c r="X14" s="47">
        <v>1755</v>
      </c>
      <c r="Y14" s="42">
        <v>30133.55</v>
      </c>
      <c r="Z14" s="50">
        <v>304000</v>
      </c>
      <c r="AA14" s="37">
        <v>1395947.63</v>
      </c>
      <c r="AB14" s="47">
        <v>1998</v>
      </c>
      <c r="AC14" s="42">
        <v>34283.31</v>
      </c>
      <c r="AD14" s="50"/>
      <c r="AE14" s="37"/>
      <c r="AF14" s="47"/>
      <c r="AG14" s="42"/>
    </row>
    <row r="15" spans="1:33" x14ac:dyDescent="0.25">
      <c r="A15" s="36" t="s">
        <v>24</v>
      </c>
      <c r="B15" s="38">
        <v>232000</v>
      </c>
      <c r="C15" s="37">
        <v>999089.56</v>
      </c>
      <c r="D15" s="38">
        <v>3733</v>
      </c>
      <c r="E15" s="37">
        <v>63912.26</v>
      </c>
      <c r="F15" s="38">
        <v>320000</v>
      </c>
      <c r="G15" s="37">
        <v>1375099.6</v>
      </c>
      <c r="H15" s="38">
        <v>2471</v>
      </c>
      <c r="I15" s="37">
        <v>42360.83</v>
      </c>
      <c r="J15" s="39">
        <v>264000</v>
      </c>
      <c r="K15" s="37">
        <v>1145615.3999999999</v>
      </c>
      <c r="L15" s="38">
        <v>1263</v>
      </c>
      <c r="M15" s="37">
        <v>21731.57</v>
      </c>
      <c r="N15" s="39">
        <v>255000</v>
      </c>
      <c r="O15" s="27">
        <v>1422187.12</v>
      </c>
      <c r="P15" s="38">
        <v>2034</v>
      </c>
      <c r="Q15" s="37">
        <v>34898.089999999997</v>
      </c>
      <c r="R15" s="39">
        <v>241000</v>
      </c>
      <c r="S15" s="37">
        <v>1123359.94</v>
      </c>
      <c r="T15" s="47">
        <v>2551</v>
      </c>
      <c r="U15" s="71">
        <v>43727.01</v>
      </c>
      <c r="V15" s="39">
        <v>279000</v>
      </c>
      <c r="W15" s="37">
        <v>1364854.68</v>
      </c>
      <c r="X15" s="47">
        <v>1749</v>
      </c>
      <c r="Y15" s="71">
        <v>30031.09</v>
      </c>
      <c r="Z15" s="50">
        <v>248000</v>
      </c>
      <c r="AA15" s="37">
        <v>1156164.8700000001</v>
      </c>
      <c r="AB15" s="72">
        <v>1912</v>
      </c>
      <c r="AC15" s="71">
        <v>32814.67</v>
      </c>
      <c r="AD15" s="50"/>
      <c r="AE15" s="37"/>
      <c r="AF15" s="72"/>
      <c r="AG15" s="71"/>
    </row>
    <row r="16" spans="1:33" x14ac:dyDescent="0.25">
      <c r="A16" s="73" t="s">
        <v>25</v>
      </c>
      <c r="B16" s="74">
        <v>203000</v>
      </c>
      <c r="C16" s="75">
        <v>876070</v>
      </c>
      <c r="D16" s="74">
        <v>4646</v>
      </c>
      <c r="E16" s="75">
        <v>79503.740000000005</v>
      </c>
      <c r="F16" s="74">
        <v>298000</v>
      </c>
      <c r="G16" s="75">
        <v>1318539.19</v>
      </c>
      <c r="H16" s="74">
        <v>3494</v>
      </c>
      <c r="I16" s="75">
        <v>59830.8</v>
      </c>
      <c r="J16" s="76">
        <v>222000</v>
      </c>
      <c r="K16" s="75">
        <v>938761.38</v>
      </c>
      <c r="L16" s="74">
        <v>2024</v>
      </c>
      <c r="M16" s="75">
        <v>34727.32</v>
      </c>
      <c r="N16" s="39">
        <v>211000</v>
      </c>
      <c r="O16" s="27">
        <v>1157809.22</v>
      </c>
      <c r="P16" s="74">
        <v>1621</v>
      </c>
      <c r="Q16" s="75">
        <v>27845.21</v>
      </c>
      <c r="R16" s="39">
        <v>217000</v>
      </c>
      <c r="S16" s="37">
        <v>1026177.75</v>
      </c>
      <c r="T16" s="47">
        <v>2104</v>
      </c>
      <c r="U16" s="77">
        <v>36093.5</v>
      </c>
      <c r="V16" s="39">
        <v>225000</v>
      </c>
      <c r="W16" s="37">
        <v>1090643.1499999999</v>
      </c>
      <c r="X16" s="72">
        <v>2563</v>
      </c>
      <c r="Y16" s="71">
        <v>43931.93</v>
      </c>
      <c r="Z16" s="50">
        <v>256000</v>
      </c>
      <c r="AA16" s="37">
        <v>1175072.4099999999</v>
      </c>
      <c r="AB16" s="32">
        <v>2411</v>
      </c>
      <c r="AC16" s="31">
        <v>41366.199999999997</v>
      </c>
      <c r="AD16" s="78"/>
      <c r="AE16" s="79"/>
      <c r="AF16" s="80"/>
      <c r="AG16" s="81"/>
    </row>
    <row r="17" spans="2:33" x14ac:dyDescent="0.25">
      <c r="B17" s="82">
        <f>SUM(B5:B16)</f>
        <v>3261000</v>
      </c>
      <c r="C17" s="17">
        <f>SUM(C5:C16)</f>
        <v>14014927.520000001</v>
      </c>
      <c r="D17" s="83">
        <f t="shared" ref="D17:N17" si="0">SUM(D5:D16)</f>
        <v>54818</v>
      </c>
      <c r="E17" s="17">
        <f t="shared" si="0"/>
        <v>938094.74999999988</v>
      </c>
      <c r="F17" s="83">
        <f t="shared" si="0"/>
        <v>3480000</v>
      </c>
      <c r="G17" s="17">
        <f t="shared" si="0"/>
        <v>14951701.719999999</v>
      </c>
      <c r="H17" s="83">
        <f t="shared" si="0"/>
        <v>43886</v>
      </c>
      <c r="I17" s="17">
        <f t="shared" si="0"/>
        <v>718171.7699999999</v>
      </c>
      <c r="J17" s="83">
        <f t="shared" si="0"/>
        <v>3044000</v>
      </c>
      <c r="K17" s="17">
        <f>SUM(K5:K16)</f>
        <v>13012531.100000001</v>
      </c>
      <c r="L17" s="83">
        <f t="shared" si="0"/>
        <v>31944</v>
      </c>
      <c r="M17" s="17">
        <f t="shared" si="0"/>
        <v>547470.88</v>
      </c>
      <c r="N17" s="83">
        <f t="shared" si="0"/>
        <v>3108000</v>
      </c>
      <c r="O17" s="17">
        <f>SUM(O5:O16)</f>
        <v>15132202.840000002</v>
      </c>
      <c r="P17" s="83">
        <f>SUM(P5:P16)</f>
        <v>22788</v>
      </c>
      <c r="Q17" s="17">
        <f>SUM(Q5:Q16)</f>
        <v>391111.77999999997</v>
      </c>
      <c r="R17" s="83">
        <f t="shared" ref="R17:Y17" si="1">SUM(R5:R16)</f>
        <v>3028888</v>
      </c>
      <c r="S17" s="17">
        <f t="shared" si="1"/>
        <v>16088034.290000001</v>
      </c>
      <c r="T17" s="83">
        <f t="shared" si="1"/>
        <v>30870</v>
      </c>
      <c r="U17" s="17">
        <f t="shared" si="1"/>
        <v>529628.55000000005</v>
      </c>
      <c r="V17" s="83">
        <f t="shared" si="1"/>
        <v>3425000</v>
      </c>
      <c r="W17" s="17">
        <f t="shared" si="1"/>
        <v>16670306.159999998</v>
      </c>
      <c r="X17" s="83">
        <f t="shared" si="1"/>
        <v>29762</v>
      </c>
      <c r="Y17" s="17">
        <f t="shared" si="1"/>
        <v>510208.43</v>
      </c>
      <c r="Z17" s="83">
        <f>SUM(Z5:Z16)</f>
        <v>3304000</v>
      </c>
      <c r="AA17" s="17">
        <f>SUM(AA5:AA16)</f>
        <v>15553564.620000001</v>
      </c>
      <c r="AB17" s="83">
        <f>SUM(AB5:AB16)</f>
        <v>28812</v>
      </c>
      <c r="AC17" s="84">
        <f>SUM(AC5:AC16)</f>
        <v>494015.1</v>
      </c>
      <c r="AD17" s="83">
        <f t="shared" ref="AD17:AG17" si="2">SUM(AD5:AD16)</f>
        <v>1460000</v>
      </c>
      <c r="AE17" s="17">
        <f t="shared" si="2"/>
        <v>6763941.2599999998</v>
      </c>
      <c r="AF17" s="83">
        <f t="shared" si="2"/>
        <v>19432</v>
      </c>
      <c r="AG17" s="84">
        <f t="shared" si="2"/>
        <v>332659.49</v>
      </c>
    </row>
  </sheetData>
  <mergeCells count="24">
    <mergeCell ref="AD3:AE3"/>
    <mergeCell ref="AF3:AG3"/>
    <mergeCell ref="R3:S3"/>
    <mergeCell ref="T3:U3"/>
    <mergeCell ref="V3:W3"/>
    <mergeCell ref="X3:Y3"/>
    <mergeCell ref="Z3:AA3"/>
    <mergeCell ref="AB3:AC3"/>
    <mergeCell ref="Z2:AC2"/>
    <mergeCell ref="AD2:AG2"/>
    <mergeCell ref="B3:C3"/>
    <mergeCell ref="D3:E3"/>
    <mergeCell ref="F3:G3"/>
    <mergeCell ref="H3:I3"/>
    <mergeCell ref="J3:K3"/>
    <mergeCell ref="L3:M3"/>
    <mergeCell ref="N3:O3"/>
    <mergeCell ref="P3:Q3"/>
    <mergeCell ref="B2:E2"/>
    <mergeCell ref="F2:I2"/>
    <mergeCell ref="J2:M2"/>
    <mergeCell ref="N2:Q2"/>
    <mergeCell ref="R2:U2"/>
    <mergeCell ref="V2:Y2"/>
  </mergeCells>
  <pageMargins left="0.25" right="0.25" top="0.75" bottom="0.75" header="0.3" footer="0.3"/>
  <pageSetup paperSize="9" scale="46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BB176B80056AA645B588F8AC75711FFE" ma:contentTypeVersion="16" ma:contentTypeDescription="สร้างเอกสารใหม่" ma:contentTypeScope="" ma:versionID="39021facd1bb4897b7f6590264a5b258">
  <xsd:schema xmlns:xsd="http://www.w3.org/2001/XMLSchema" xmlns:xs="http://www.w3.org/2001/XMLSchema" xmlns:p="http://schemas.microsoft.com/office/2006/metadata/properties" xmlns:ns3="7e66b819-8af7-495f-84b4-db14ffff1f20" xmlns:ns4="489b4cd6-acef-4d3d-a4d8-448067596407" targetNamespace="http://schemas.microsoft.com/office/2006/metadata/properties" ma:root="true" ma:fieldsID="911f4ca2937fb9d5b0dd844bf02d6f39" ns3:_="" ns4:_="">
    <xsd:import namespace="7e66b819-8af7-495f-84b4-db14ffff1f20"/>
    <xsd:import namespace="489b4cd6-acef-4d3d-a4d8-44806759640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ServiceSystemTags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66b819-8af7-495f-84b4-db14ffff1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9b4cd6-acef-4d3d-a4d8-44806759640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การแชร์แฮชคำแนะนำ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e66b819-8af7-495f-84b4-db14ffff1f20" xsi:nil="true"/>
  </documentManagement>
</p:properties>
</file>

<file path=customXml/itemProps1.xml><?xml version="1.0" encoding="utf-8"?>
<ds:datastoreItem xmlns:ds="http://schemas.openxmlformats.org/officeDocument/2006/customXml" ds:itemID="{392B7243-945B-4AF3-AC22-9E849E5734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66b819-8af7-495f-84b4-db14ffff1f20"/>
    <ds:schemaRef ds:uri="489b4cd6-acef-4d3d-a4d8-4480675964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51EF874-E070-4DC8-9399-DFC52B5BE8A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F26054-2786-44FE-AC1C-2D3A6DF058FD}">
  <ds:schemaRefs>
    <ds:schemaRef ds:uri="http://purl.org/dc/terms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www.w3.org/XML/1998/namespace"/>
    <ds:schemaRef ds:uri="489b4cd6-acef-4d3d-a4d8-448067596407"/>
    <ds:schemaRef ds:uri="7e66b819-8af7-495f-84b4-db14ffff1f20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ตารางไฟฟ้า-ประปา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ตวงเพชร ชัยยานนท์</dc:creator>
  <cp:lastModifiedBy>ตวงเพชร ชัยยานนท์</cp:lastModifiedBy>
  <dcterms:created xsi:type="dcterms:W3CDTF">2026-07-20T08:25:09Z</dcterms:created>
  <dcterms:modified xsi:type="dcterms:W3CDTF">2026-07-20T08:25:54Z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0x010100BB176B80056AA645B588F8AC75711FFE</vt:lpwstr>
  </property>
</Properties>
</file>